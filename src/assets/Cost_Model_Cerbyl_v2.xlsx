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rthav\Downloads\"/>
    </mc:Choice>
  </mc:AlternateContent>
  <xr:revisionPtr revIDLastSave="0" documentId="13_ncr:1_{05A99792-49D1-4953-9687-8223F7DF0019}" xr6:coauthVersionLast="47" xr6:coauthVersionMax="47" xr10:uidLastSave="{00000000-0000-0000-0000-000000000000}"/>
  <bookViews>
    <workbookView xWindow="-108" yWindow="-108" windowWidth="23256" windowHeight="14616" tabRatio="500" activeTab="2" xr2:uid="{00000000-000D-0000-FFFF-FFFF00000000}"/>
  </bookViews>
  <sheets>
    <sheet name="Assumptions" sheetId="1" r:id="rId1"/>
    <sheet name="Margin Trend" sheetId="2" r:id="rId2"/>
    <sheet name="Margin Playbook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3" l="1"/>
  <c r="B18" i="3"/>
  <c r="C18" i="3" s="1"/>
  <c r="B17" i="3"/>
  <c r="C17" i="3" s="1"/>
  <c r="B16" i="3"/>
  <c r="C16" i="3" s="1"/>
  <c r="C15" i="3"/>
  <c r="B15" i="3"/>
  <c r="C14" i="3"/>
  <c r="B14" i="3"/>
  <c r="B13" i="3"/>
  <c r="C13" i="3" s="1"/>
  <c r="B12" i="3"/>
  <c r="C12" i="3" s="1"/>
  <c r="B11" i="3"/>
  <c r="C11" i="3" s="1"/>
  <c r="B10" i="3"/>
  <c r="B20" i="3" s="1"/>
  <c r="M17" i="2"/>
  <c r="L17" i="2"/>
  <c r="L18" i="2" s="1"/>
  <c r="K17" i="2"/>
  <c r="J17" i="2"/>
  <c r="I17" i="2"/>
  <c r="G17" i="2"/>
  <c r="F17" i="2"/>
  <c r="E17" i="2"/>
  <c r="D17" i="2"/>
  <c r="C17" i="2"/>
  <c r="M12" i="2"/>
  <c r="L12" i="2"/>
  <c r="K12" i="2"/>
  <c r="J12" i="2"/>
  <c r="I12" i="2"/>
  <c r="G12" i="2"/>
  <c r="F12" i="2"/>
  <c r="E12" i="2"/>
  <c r="D12" i="2"/>
  <c r="C12" i="2"/>
  <c r="M11" i="2"/>
  <c r="L11" i="2"/>
  <c r="K11" i="2"/>
  <c r="J11" i="2"/>
  <c r="I11" i="2"/>
  <c r="G11" i="2"/>
  <c r="F11" i="2"/>
  <c r="E11" i="2"/>
  <c r="D11" i="2"/>
  <c r="C11" i="2"/>
  <c r="M10" i="2"/>
  <c r="L10" i="2"/>
  <c r="K10" i="2"/>
  <c r="J10" i="2"/>
  <c r="I10" i="2"/>
  <c r="G10" i="2"/>
  <c r="F10" i="2"/>
  <c r="E10" i="2"/>
  <c r="D10" i="2"/>
  <c r="C10" i="2"/>
  <c r="M9" i="2"/>
  <c r="L9" i="2"/>
  <c r="K9" i="2"/>
  <c r="J9" i="2"/>
  <c r="I9" i="2"/>
  <c r="G9" i="2"/>
  <c r="F9" i="2"/>
  <c r="E9" i="2"/>
  <c r="D9" i="2"/>
  <c r="C9" i="2"/>
  <c r="M8" i="2"/>
  <c r="L8" i="2"/>
  <c r="K8" i="2"/>
  <c r="J8" i="2"/>
  <c r="I8" i="2"/>
  <c r="G8" i="2"/>
  <c r="F8" i="2"/>
  <c r="E8" i="2"/>
  <c r="D8" i="2"/>
  <c r="C8" i="2"/>
  <c r="M7" i="2"/>
  <c r="L7" i="2"/>
  <c r="K7" i="2"/>
  <c r="J7" i="2"/>
  <c r="I7" i="2"/>
  <c r="G7" i="2"/>
  <c r="F7" i="2"/>
  <c r="E7" i="2"/>
  <c r="D7" i="2"/>
  <c r="C7" i="2"/>
  <c r="M6" i="2"/>
  <c r="L6" i="2"/>
  <c r="K6" i="2"/>
  <c r="J6" i="2"/>
  <c r="I6" i="2"/>
  <c r="G6" i="2"/>
  <c r="F6" i="2"/>
  <c r="E6" i="2"/>
  <c r="D6" i="2"/>
  <c r="C6" i="2"/>
  <c r="M5" i="2"/>
  <c r="M13" i="2" s="1"/>
  <c r="M16" i="2" s="1"/>
  <c r="M22" i="2" s="1"/>
  <c r="L5" i="2"/>
  <c r="L13" i="2" s="1"/>
  <c r="L16" i="2" s="1"/>
  <c r="L22" i="2" s="1"/>
  <c r="K5" i="2"/>
  <c r="K13" i="2" s="1"/>
  <c r="K16" i="2" s="1"/>
  <c r="K22" i="2" s="1"/>
  <c r="J5" i="2"/>
  <c r="J13" i="2" s="1"/>
  <c r="J16" i="2" s="1"/>
  <c r="J22" i="2" s="1"/>
  <c r="I5" i="2"/>
  <c r="G5" i="2"/>
  <c r="F5" i="2"/>
  <c r="E5" i="2"/>
  <c r="D5" i="2"/>
  <c r="C5" i="2"/>
  <c r="M4" i="2"/>
  <c r="L4" i="2"/>
  <c r="K4" i="2"/>
  <c r="J4" i="2"/>
  <c r="I4" i="2"/>
  <c r="I13" i="2" s="1"/>
  <c r="I16" i="2" s="1"/>
  <c r="G4" i="2"/>
  <c r="G13" i="2" s="1"/>
  <c r="G16" i="2" s="1"/>
  <c r="F4" i="2"/>
  <c r="F13" i="2" s="1"/>
  <c r="F16" i="2" s="1"/>
  <c r="E4" i="2"/>
  <c r="E13" i="2" s="1"/>
  <c r="E16" i="2" s="1"/>
  <c r="D4" i="2"/>
  <c r="D13" i="2" s="1"/>
  <c r="D16" i="2" s="1"/>
  <c r="C4" i="2"/>
  <c r="C13" i="2" s="1"/>
  <c r="C16" i="2" s="1"/>
  <c r="L19" i="2" l="1"/>
  <c r="L20" i="2"/>
  <c r="L21" i="2" s="1"/>
  <c r="L23" i="2" s="1"/>
  <c r="J18" i="2"/>
  <c r="C22" i="2"/>
  <c r="C18" i="2"/>
  <c r="B28" i="3"/>
  <c r="D14" i="3"/>
  <c r="D17" i="3"/>
  <c r="D18" i="3"/>
  <c r="D10" i="3"/>
  <c r="D12" i="3"/>
  <c r="D16" i="3"/>
  <c r="B25" i="3"/>
  <c r="D13" i="3"/>
  <c r="B22" i="3"/>
  <c r="B26" i="3" s="1"/>
  <c r="B27" i="3" s="1"/>
  <c r="B29" i="3" s="1"/>
  <c r="C20" i="3"/>
  <c r="D11" i="3"/>
  <c r="D15" i="3"/>
  <c r="E18" i="2"/>
  <c r="E22" i="2"/>
  <c r="F18" i="2"/>
  <c r="F22" i="2"/>
  <c r="D22" i="2"/>
  <c r="D18" i="2"/>
  <c r="G22" i="2"/>
  <c r="G18" i="2"/>
  <c r="K18" i="2"/>
  <c r="M18" i="2"/>
  <c r="I22" i="2"/>
  <c r="I18" i="2"/>
  <c r="C10" i="3"/>
  <c r="B24" i="3" l="1"/>
  <c r="K20" i="2"/>
  <c r="K21" i="2" s="1"/>
  <c r="K23" i="2" s="1"/>
  <c r="K19" i="2"/>
  <c r="G19" i="2"/>
  <c r="G20" i="2"/>
  <c r="G21" i="2" s="1"/>
  <c r="G23" i="2" s="1"/>
  <c r="J19" i="2"/>
  <c r="J20" i="2"/>
  <c r="J21" i="2" s="1"/>
  <c r="J23" i="2" s="1"/>
  <c r="E19" i="2"/>
  <c r="E20" i="2"/>
  <c r="E21" i="2" s="1"/>
  <c r="E23" i="2" s="1"/>
  <c r="M19" i="2"/>
  <c r="M20" i="2"/>
  <c r="M21" i="2" s="1"/>
  <c r="M23" i="2" s="1"/>
  <c r="D20" i="2"/>
  <c r="D21" i="2" s="1"/>
  <c r="D23" i="2" s="1"/>
  <c r="D19" i="2"/>
  <c r="I19" i="2"/>
  <c r="I20" i="2"/>
  <c r="I21" i="2" s="1"/>
  <c r="I23" i="2" s="1"/>
  <c r="C20" i="2"/>
  <c r="C21" i="2" s="1"/>
  <c r="C23" i="2" s="1"/>
  <c r="C19" i="2"/>
  <c r="F20" i="2"/>
  <c r="F21" i="2" s="1"/>
  <c r="F23" i="2" s="1"/>
  <c r="F19" i="2"/>
</calcChain>
</file>

<file path=xl/sharedStrings.xml><?xml version="1.0" encoding="utf-8"?>
<sst xmlns="http://schemas.openxmlformats.org/spreadsheetml/2006/main" count="157" uniqueCount="130">
  <si>
    <t>CERBYL  COST MODEL ASSUMPTIONS</t>
  </si>
  <si>
    <t>Parameter</t>
  </si>
  <si>
    <t>Value</t>
  </si>
  <si>
    <t>Notes / Source</t>
  </si>
  <si>
    <t xml:space="preserve">  AI Token Assumptions</t>
  </si>
  <si>
    <t>Best-case tokens per user per month</t>
  </si>
  <si>
    <t>Active student: flashcards, quiz, ask, podcast mix</t>
  </si>
  <si>
    <t>Worst-case tokens per user per month</t>
  </si>
  <si>
    <t>Heavy user: media notes + repeated podcast sessions</t>
  </si>
  <si>
    <t>Fast model cost per token (Gemini 2.0 Flash)</t>
  </si>
  <si>
    <t>Gemini 2.0 Flash blended input+output ~$0.15 per 1M tokens. Used for: ask_simple, flashcards_ai, quiz_ai, podcast_ai, learning_path_ai</t>
  </si>
  <si>
    <t>Premium model cost per token (Gemini 1.5 Pro)</t>
  </si>
  <si>
    <t>Gemini 1.5 Pro blended input+output ~$2.50 per 1M tokens. Used for: media_notes_ai heavy sessions and complex multi-agent chains in worst case</t>
  </si>
  <si>
    <t>% tokens on fast model (best case)</t>
  </si>
  <si>
    <t>95% Gemini 2.0 Flash (cheap fast model), 5% Gemini 1.5 Pro for media notes only</t>
  </si>
  <si>
    <t>% tokens on fast model (worst case)</t>
  </si>
  <si>
    <t>70% Gemini 2.0 Flash, 30% Gemini 1.5 Pro for heavy media notes and multi-agent worst case usage</t>
  </si>
  <si>
    <t xml:space="preserve">  Compute and Storage</t>
  </si>
  <si>
    <t>GB processed per user per month</t>
  </si>
  <si>
    <t>Cost per GB processed ($)</t>
  </si>
  <si>
    <t>AWS blended compute rate</t>
  </si>
  <si>
    <t>GB stored per user per month</t>
  </si>
  <si>
    <t>ChromaDB + PostgreSQL per user</t>
  </si>
  <si>
    <t>Cost per GB stored ($)</t>
  </si>
  <si>
    <t>S3 + RDS blended</t>
  </si>
  <si>
    <t xml:space="preserve">  Bandwidth</t>
  </si>
  <si>
    <t>GB egress per user per month</t>
  </si>
  <si>
    <t>API + frontend CDN traffic</t>
  </si>
  <si>
    <t>Cost per GB egress ($)</t>
  </si>
  <si>
    <t>AWS CloudFront standard</t>
  </si>
  <si>
    <t xml:space="preserve">  Software Licenses</t>
  </si>
  <si>
    <t>Base SaaS licenses per month ($)</t>
  </si>
  <si>
    <t>GitHub, Figma, monitoring, Jira</t>
  </si>
  <si>
    <t>Users per license tier</t>
  </si>
  <si>
    <t>Add $750 per additional 5,000 users</t>
  </si>
  <si>
    <t xml:space="preserve">  Headcount</t>
  </si>
  <si>
    <t>FTEs per 5,000 users</t>
  </si>
  <si>
    <t>1 eng + 1 support</t>
  </si>
  <si>
    <t>Annual cost per FTE ($)</t>
  </si>
  <si>
    <t>2 lakh INR per month at 84 INR/USD</t>
  </si>
  <si>
    <t>Admin and compliance annual ($)</t>
  </si>
  <si>
    <t>Legal, accounting, misc</t>
  </si>
  <si>
    <t xml:space="preserve">  Hardware</t>
  </si>
  <si>
    <t>Laptop budget per FTE ($)</t>
  </si>
  <si>
    <t>Amortized over 36 months</t>
  </si>
  <si>
    <t xml:space="preserve">  Facilities</t>
  </si>
  <si>
    <t>Monthly facilities per 5K users ($)</t>
  </si>
  <si>
    <t>Co-working, cloud-first</t>
  </si>
  <si>
    <t xml:space="preserve">  Pricing</t>
  </si>
  <si>
    <t>Pro plan monthly charge ($)</t>
  </si>
  <si>
    <t>Best case ARPU — under ChatGPT, beats Quizlet</t>
  </si>
  <si>
    <t>Power plan monthly charge ($)</t>
  </si>
  <si>
    <t>Worst case ARPU — heavy users, 500K+ tokens</t>
  </si>
  <si>
    <t>Free trial months</t>
  </si>
  <si>
    <t>2 months free on annual plan</t>
  </si>
  <si>
    <t>CERBYL  MARGIN TREND BY USER SCALE</t>
  </si>
  <si>
    <t>BEST CASE  (500K tokens/user/mo)  Pro $15/mo</t>
  </si>
  <si>
    <t>WORST CASE  (3M tokens/user/mo)  Power $25/mo</t>
  </si>
  <si>
    <t>Cost Category</t>
  </si>
  <si>
    <t>Per-User Driver</t>
  </si>
  <si>
    <t>1,000 Users</t>
  </si>
  <si>
    <t>5,000 Users</t>
  </si>
  <si>
    <t>10,000 Users</t>
  </si>
  <si>
    <t>25,000 Users</t>
  </si>
  <si>
    <t>50,000 Users</t>
  </si>
  <si>
    <t>AI Tokens (Haiku + Sonnet blended)</t>
  </si>
  <si>
    <t>tokens x blended cost/token x users</t>
  </si>
  <si>
    <t>Compute and Processing</t>
  </si>
  <si>
    <t>GB processed x cost/GB x users</t>
  </si>
  <si>
    <t>Storage and Databases</t>
  </si>
  <si>
    <t>GB stored x cost/GB x users</t>
  </si>
  <si>
    <t>Bandwidth and CDN</t>
  </si>
  <si>
    <t>GB egress x cost/GB x users</t>
  </si>
  <si>
    <t>Software Licenses</t>
  </si>
  <si>
    <t>Flat, scales per 5K users</t>
  </si>
  <si>
    <t>Salary (Eng and Support)</t>
  </si>
  <si>
    <t>2 FTEs per 5K users, 2 lakh INR</t>
  </si>
  <si>
    <t>Laptops and Equipment</t>
  </si>
  <si>
    <t>Amortized per FTE over 36 months</t>
  </si>
  <si>
    <t>Compliance and Admin</t>
  </si>
  <si>
    <t>Annual admin divided by 12</t>
  </si>
  <si>
    <t>Facilities</t>
  </si>
  <si>
    <t>2,500 per month per 5K users</t>
  </si>
  <si>
    <t>Total Cost per Month</t>
  </si>
  <si>
    <t>UNIT ECONOMICS</t>
  </si>
  <si>
    <t>Cost per User per Month</t>
  </si>
  <si>
    <t>Charge per User per Month</t>
  </si>
  <si>
    <t>Gross Margin per User</t>
  </si>
  <si>
    <t>Gross Margin %</t>
  </si>
  <si>
    <t>Monthly Gross Profit ($)</t>
  </si>
  <si>
    <t>Annual Gross Profit ($)</t>
  </si>
  <si>
    <t>Free Trial Cost (2 months)</t>
  </si>
  <si>
    <t>Net Annual Profit (after free trial)</t>
  </si>
  <si>
    <t>CERBYL  MARGIN PLAYBOOK  INTERACTIVE SCENARIO</t>
  </si>
  <si>
    <t xml:space="preserve">  Inputs  (change blue cells)</t>
  </si>
  <si>
    <t>Notes</t>
  </si>
  <si>
    <t>Monthly Active Users</t>
  </si>
  <si>
    <t>Your current or projected user base</t>
  </si>
  <si>
    <t>Tokens per user per month</t>
  </si>
  <si>
    <t>500K = Pro user, 3M = Power user</t>
  </si>
  <si>
    <t>% tokens on Haiku</t>
  </si>
  <si>
    <t>90% fast model, 10% Sonnet for media notes</t>
  </si>
  <si>
    <t>Monthly charge per user ($)</t>
  </si>
  <si>
    <t>15 = Pro plan, 25 = Power plan</t>
  </si>
  <si>
    <t xml:space="preserve">  Cost Breakdown</t>
  </si>
  <si>
    <t>Monthly ($)</t>
  </si>
  <si>
    <t>Per User ($)</t>
  </si>
  <si>
    <t>% of Total</t>
  </si>
  <si>
    <t>Nature</t>
  </si>
  <si>
    <t>AI Tokens (Haiku + Sonnet)</t>
  </si>
  <si>
    <t>Variable</t>
  </si>
  <si>
    <t>Fixed</t>
  </si>
  <si>
    <t>Semi-fixed</t>
  </si>
  <si>
    <t>Total Monthly Cost</t>
  </si>
  <si>
    <t xml:space="preserve">  Unit Economics Summary</t>
  </si>
  <si>
    <t>Monthly Gross Profit</t>
  </si>
  <si>
    <t>Annual Gross Profit</t>
  </si>
  <si>
    <t>Net Annual Profit</t>
  </si>
  <si>
    <t xml:space="preserve">  Color Legend</t>
  </si>
  <si>
    <t>BLUE TEXT</t>
  </si>
  <si>
    <t>Hardcoded inputs  change these to model scenarios</t>
  </si>
  <si>
    <t>GREEN TEXT</t>
  </si>
  <si>
    <t>Formulas pulling from Assumptions tab</t>
  </si>
  <si>
    <t>DARK TEXT</t>
  </si>
  <si>
    <t>Calculated values  do not edit directly</t>
  </si>
  <si>
    <t>GREEN FILL</t>
  </si>
  <si>
    <t>Positive margin and key profit metrics</t>
  </si>
  <si>
    <t>ORANGE FILL</t>
  </si>
  <si>
    <t>Cash drag items to watch</t>
  </si>
  <si>
    <t>100 MB avg - AWS EC2 + Lambda blended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</si>
</sst>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\$0.000000"/>
    <numFmt numFmtId="166" formatCode="0.0%;\(0.0%\);\-"/>
    <numFmt numFmtId="167" formatCode="\$#,##0.00;&quot;($&quot;#,##0.00\);\-"/>
    <numFmt numFmtId="168" formatCode="\$#,##0;&quot;($&quot;#,##0\);\-"/>
  </numFmts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3D2B1F"/>
      <name val="Arial"/>
      <charset val="1"/>
    </font>
    <font>
      <sz val="10"/>
      <color rgb="FF3D2B1F"/>
      <name val="Arial"/>
      <charset val="1"/>
    </font>
    <font>
      <sz val="10"/>
      <color rgb="FF0000FF"/>
      <name val="Arial"/>
      <charset val="1"/>
    </font>
    <font>
      <i/>
      <sz val="9"/>
      <color rgb="FF7F6050"/>
      <name val="Arial"/>
      <charset val="1"/>
    </font>
    <font>
      <sz val="10"/>
      <color rgb="FF2E6B2E"/>
      <name val="Arial"/>
      <charset val="1"/>
    </font>
    <font>
      <sz val="10"/>
      <color rgb="FF8B2020"/>
      <name val="Arial"/>
      <charset val="1"/>
    </font>
    <font>
      <b/>
      <sz val="10"/>
      <color rgb="FF0000FF"/>
      <name val="Arial"/>
      <charset val="1"/>
    </font>
    <font>
      <b/>
      <sz val="10"/>
      <color rgb="FF2E6B2E"/>
      <name val="Arial"/>
      <charset val="1"/>
    </font>
    <font>
      <b/>
      <sz val="10"/>
      <color rgb="FF8B2020"/>
      <name val="Arial"/>
      <charset val="1"/>
    </font>
    <font>
      <sz val="9"/>
      <color rgb="FF595959"/>
      <name val="Arial"/>
      <charset val="1"/>
    </font>
    <font>
      <b/>
      <sz val="10"/>
      <color rgb="FFC8702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3D2B1F"/>
        <bgColor rgb="FF333300"/>
      </patternFill>
    </fill>
    <fill>
      <patternFill patternType="solid">
        <fgColor rgb="FFD9B28E"/>
        <bgColor rgb="FFFFCC99"/>
      </patternFill>
    </fill>
    <fill>
      <patternFill patternType="solid">
        <fgColor rgb="FFFDF7F2"/>
        <bgColor rgb="FFFEF3E2"/>
      </patternFill>
    </fill>
    <fill>
      <patternFill patternType="solid">
        <fgColor rgb="FF5C8A5C"/>
        <bgColor rgb="FF339966"/>
      </patternFill>
    </fill>
    <fill>
      <patternFill patternType="solid">
        <fgColor rgb="FFFFFFFF"/>
        <bgColor rgb="FFFDF7F2"/>
      </patternFill>
    </fill>
    <fill>
      <patternFill patternType="solid">
        <fgColor rgb="FFB05050"/>
        <bgColor rgb="FF993366"/>
      </patternFill>
    </fill>
    <fill>
      <patternFill patternType="solid">
        <fgColor rgb="FFF5EBE0"/>
        <bgColor rgb="FFFEF3E2"/>
      </patternFill>
    </fill>
    <fill>
      <patternFill patternType="solid">
        <fgColor rgb="FFE6F4EA"/>
        <bgColor rgb="FFF5EBE0"/>
      </patternFill>
    </fill>
    <fill>
      <patternFill patternType="solid">
        <fgColor rgb="FFFEF3E2"/>
        <bgColor rgb="FFFDF7F2"/>
      </patternFill>
    </fill>
  </fills>
  <borders count="3">
    <border>
      <left/>
      <right/>
      <top/>
      <bottom/>
      <diagonal/>
    </border>
    <border>
      <left style="thin">
        <color rgb="FFD9B28E"/>
      </left>
      <right/>
      <top style="thin">
        <color rgb="FFD9B28E"/>
      </top>
      <bottom style="thin">
        <color rgb="FFD9B28E"/>
      </bottom>
      <diagonal/>
    </border>
    <border>
      <left style="thin">
        <color rgb="FFD9B28E"/>
      </left>
      <right style="thin">
        <color rgb="FFD9B28E"/>
      </right>
      <top style="thin">
        <color rgb="FFD9B28E"/>
      </top>
      <bottom style="thin">
        <color rgb="FFD9B28E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2" fillId="4" borderId="2" xfId="0" applyFont="1" applyFill="1" applyBorder="1"/>
    <xf numFmtId="168" fontId="4" fillId="10" borderId="2" xfId="0" applyNumberFormat="1" applyFont="1" applyFill="1" applyBorder="1" applyAlignment="1">
      <alignment horizontal="right" vertical="center"/>
    </xf>
    <xf numFmtId="168" fontId="3" fillId="9" borderId="2" xfId="0" applyNumberFormat="1" applyFont="1" applyFill="1" applyBorder="1" applyAlignment="1">
      <alignment horizontal="right" vertical="center"/>
    </xf>
    <xf numFmtId="166" fontId="3" fillId="9" borderId="2" xfId="0" applyNumberFormat="1" applyFont="1" applyFill="1" applyBorder="1" applyAlignment="1">
      <alignment horizontal="right" vertical="center"/>
    </xf>
    <xf numFmtId="167" fontId="3" fillId="9" borderId="2" xfId="0" applyNumberFormat="1" applyFont="1" applyFill="1" applyBorder="1" applyAlignment="1">
      <alignment horizontal="right" vertical="center"/>
    </xf>
    <xf numFmtId="167" fontId="4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3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indent="1"/>
    </xf>
    <xf numFmtId="164" fontId="5" fillId="0" borderId="2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165" fontId="5" fillId="0" borderId="2" xfId="0" applyNumberFormat="1" applyFont="1" applyBorder="1" applyAlignment="1">
      <alignment horizontal="right" vertical="center"/>
    </xf>
    <xf numFmtId="166" fontId="5" fillId="0" borderId="2" xfId="0" applyNumberFormat="1" applyFont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 indent="1"/>
    </xf>
    <xf numFmtId="2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/>
    </xf>
    <xf numFmtId="168" fontId="5" fillId="0" borderId="2" xfId="0" applyNumberFormat="1" applyFont="1" applyBorder="1" applyAlignment="1">
      <alignment horizontal="right" vertical="center"/>
    </xf>
    <xf numFmtId="0" fontId="0" fillId="6" borderId="0" xfId="0" applyFill="1"/>
    <xf numFmtId="0" fontId="0" fillId="0" borderId="2" xfId="0" applyBorder="1"/>
    <xf numFmtId="0" fontId="4" fillId="4" borderId="2" xfId="0" applyFont="1" applyFill="1" applyBorder="1" applyAlignment="1">
      <alignment horizontal="left" vertical="center"/>
    </xf>
    <xf numFmtId="168" fontId="7" fillId="4" borderId="2" xfId="0" applyNumberFormat="1" applyFont="1" applyFill="1" applyBorder="1" applyAlignment="1">
      <alignment horizontal="right" vertical="center"/>
    </xf>
    <xf numFmtId="0" fontId="0" fillId="6" borderId="2" xfId="0" applyFill="1" applyBorder="1"/>
    <xf numFmtId="168" fontId="8" fillId="4" borderId="2" xfId="0" applyNumberFormat="1" applyFont="1" applyFill="1" applyBorder="1" applyAlignment="1">
      <alignment horizontal="right" vertical="center"/>
    </xf>
    <xf numFmtId="0" fontId="0" fillId="3" borderId="2" xfId="0" applyFill="1" applyBorder="1"/>
    <xf numFmtId="168" fontId="3" fillId="3" borderId="2" xfId="0" applyNumberFormat="1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167" fontId="7" fillId="4" borderId="2" xfId="0" applyNumberFormat="1" applyFont="1" applyFill="1" applyBorder="1" applyAlignment="1">
      <alignment horizontal="right" vertical="center"/>
    </xf>
    <xf numFmtId="167" fontId="8" fillId="4" borderId="2" xfId="0" applyNumberFormat="1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left" vertical="center"/>
    </xf>
    <xf numFmtId="167" fontId="9" fillId="8" borderId="2" xfId="0" applyNumberFormat="1" applyFont="1" applyFill="1" applyBorder="1" applyAlignment="1">
      <alignment horizontal="right" vertical="center"/>
    </xf>
    <xf numFmtId="167" fontId="10" fillId="9" borderId="2" xfId="0" applyNumberFormat="1" applyFont="1" applyFill="1" applyBorder="1" applyAlignment="1">
      <alignment horizontal="right" vertical="center"/>
    </xf>
    <xf numFmtId="167" fontId="11" fillId="9" borderId="2" xfId="0" applyNumberFormat="1" applyFont="1" applyFill="1" applyBorder="1" applyAlignment="1">
      <alignment horizontal="right" vertical="center"/>
    </xf>
    <xf numFmtId="166" fontId="10" fillId="9" borderId="2" xfId="0" applyNumberFormat="1" applyFont="1" applyFill="1" applyBorder="1" applyAlignment="1">
      <alignment horizontal="right" vertical="center"/>
    </xf>
    <xf numFmtId="166" fontId="11" fillId="9" borderId="2" xfId="0" applyNumberFormat="1" applyFont="1" applyFill="1" applyBorder="1" applyAlignment="1">
      <alignment horizontal="right" vertical="center"/>
    </xf>
    <xf numFmtId="168" fontId="10" fillId="9" borderId="2" xfId="0" applyNumberFormat="1" applyFont="1" applyFill="1" applyBorder="1" applyAlignment="1">
      <alignment horizontal="right" vertical="center"/>
    </xf>
    <xf numFmtId="168" fontId="11" fillId="9" borderId="2" xfId="0" applyNumberFormat="1" applyFont="1" applyFill="1" applyBorder="1" applyAlignment="1">
      <alignment horizontal="right" vertical="center"/>
    </xf>
    <xf numFmtId="168" fontId="7" fillId="10" borderId="2" xfId="0" applyNumberFormat="1" applyFont="1" applyFill="1" applyBorder="1" applyAlignment="1">
      <alignment horizontal="right" vertical="center"/>
    </xf>
    <xf numFmtId="168" fontId="8" fillId="10" borderId="2" xfId="0" applyNumberFormat="1" applyFont="1" applyFill="1" applyBorder="1" applyAlignment="1">
      <alignment horizontal="right" vertical="center"/>
    </xf>
    <xf numFmtId="167" fontId="4" fillId="4" borderId="2" xfId="0" applyNumberFormat="1" applyFont="1" applyFill="1" applyBorder="1" applyAlignment="1">
      <alignment horizontal="right" vertical="center"/>
    </xf>
    <xf numFmtId="166" fontId="4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/>
    <xf numFmtId="167" fontId="3" fillId="3" borderId="2" xfId="0" applyNumberFormat="1" applyFont="1" applyFill="1" applyBorder="1" applyAlignment="1">
      <alignment horizontal="right" vertical="center"/>
    </xf>
    <xf numFmtId="166" fontId="0" fillId="3" borderId="2" xfId="0" applyNumberFormat="1" applyFill="1" applyBorder="1"/>
    <xf numFmtId="0" fontId="3" fillId="9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9" fillId="4" borderId="2" xfId="0" applyFont="1" applyFill="1" applyBorder="1"/>
    <xf numFmtId="0" fontId="10" fillId="4" borderId="2" xfId="0" applyFont="1" applyFill="1" applyBorder="1"/>
    <xf numFmtId="0" fontId="3" fillId="4" borderId="2" xfId="0" applyFont="1" applyFill="1" applyBorder="1"/>
    <xf numFmtId="0" fontId="13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2E"/>
      <rgbColor rgb="FF000080"/>
      <rgbColor rgb="FF7F6050"/>
      <rgbColor rgb="FF800080"/>
      <rgbColor rgb="FF008080"/>
      <rgbColor rgb="FFD9B28E"/>
      <rgbColor rgb="FF5C8A5C"/>
      <rgbColor rgb="FF9999FF"/>
      <rgbColor rgb="FFB05050"/>
      <rgbColor rgb="FFFEF3E2"/>
      <rgbColor rgb="FFE6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7F2"/>
      <rgbColor rgb="FFF5EB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87020"/>
      <rgbColor rgb="FF595959"/>
      <rgbColor rgb="FF969696"/>
      <rgbColor rgb="FF003366"/>
      <rgbColor rgb="FF339966"/>
      <rgbColor rgb="FF003300"/>
      <rgbColor rgb="FF333300"/>
      <rgbColor rgb="FF8B2020"/>
      <rgbColor rgb="FF993366"/>
      <rgbColor rgb="FF333399"/>
      <rgbColor rgb="FF3D2B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showGridLines="0" zoomScaleNormal="100" workbookViewId="0">
      <selection activeCell="C11" sqref="C11"/>
    </sheetView>
  </sheetViews>
  <sheetFormatPr defaultColWidth="8.6640625" defaultRowHeight="14.4" x14ac:dyDescent="0.3"/>
  <cols>
    <col min="1" max="1" width="36" customWidth="1"/>
    <col min="2" max="2" width="18" customWidth="1"/>
    <col min="3" max="3" width="44" customWidth="1"/>
  </cols>
  <sheetData>
    <row r="1" spans="1:3" ht="30" customHeight="1" x14ac:dyDescent="0.3">
      <c r="A1" s="13" t="s">
        <v>0</v>
      </c>
      <c r="B1" s="13"/>
      <c r="C1" s="13"/>
    </row>
    <row r="2" spans="1:3" ht="18" customHeight="1" x14ac:dyDescent="0.3">
      <c r="A2" s="14" t="s">
        <v>1</v>
      </c>
      <c r="B2" s="14" t="s">
        <v>2</v>
      </c>
      <c r="C2" s="14" t="s">
        <v>3</v>
      </c>
    </row>
    <row r="3" spans="1:3" ht="15.75" customHeight="1" x14ac:dyDescent="0.3">
      <c r="A3" s="12" t="s">
        <v>4</v>
      </c>
      <c r="B3" s="12"/>
      <c r="C3" s="12"/>
    </row>
    <row r="4" spans="1:3" ht="15" customHeight="1" x14ac:dyDescent="0.3">
      <c r="A4" s="16" t="s">
        <v>5</v>
      </c>
      <c r="B4" s="17">
        <v>500000</v>
      </c>
      <c r="C4" s="18" t="s">
        <v>6</v>
      </c>
    </row>
    <row r="5" spans="1:3" ht="15" customHeight="1" x14ac:dyDescent="0.3">
      <c r="A5" s="16" t="s">
        <v>7</v>
      </c>
      <c r="B5" s="17">
        <v>3000000</v>
      </c>
      <c r="C5" s="18" t="s">
        <v>8</v>
      </c>
    </row>
    <row r="6" spans="1:3" ht="15" customHeight="1" x14ac:dyDescent="0.3">
      <c r="A6" s="16" t="s">
        <v>9</v>
      </c>
      <c r="B6" s="19">
        <v>1.4999999999999999E-7</v>
      </c>
      <c r="C6" s="18" t="s">
        <v>10</v>
      </c>
    </row>
    <row r="7" spans="1:3" ht="15" customHeight="1" x14ac:dyDescent="0.3">
      <c r="A7" s="16" t="s">
        <v>11</v>
      </c>
      <c r="B7" s="19">
        <v>2.5000000000000002E-6</v>
      </c>
      <c r="C7" s="18" t="s">
        <v>12</v>
      </c>
    </row>
    <row r="8" spans="1:3" ht="15" customHeight="1" x14ac:dyDescent="0.3">
      <c r="A8" s="16" t="s">
        <v>13</v>
      </c>
      <c r="B8" s="20">
        <v>0.95</v>
      </c>
      <c r="C8" s="18" t="s">
        <v>14</v>
      </c>
    </row>
    <row r="9" spans="1:3" ht="15" customHeight="1" x14ac:dyDescent="0.3">
      <c r="A9" s="16" t="s">
        <v>15</v>
      </c>
      <c r="B9" s="20">
        <v>0.7</v>
      </c>
      <c r="C9" s="18" t="s">
        <v>16</v>
      </c>
    </row>
    <row r="10" spans="1:3" ht="15.75" customHeight="1" x14ac:dyDescent="0.3">
      <c r="A10" s="12" t="s">
        <v>17</v>
      </c>
      <c r="B10" s="12"/>
      <c r="C10" s="12"/>
    </row>
    <row r="11" spans="1:3" ht="15" customHeight="1" x14ac:dyDescent="0.3">
      <c r="A11" s="21" t="s">
        <v>18</v>
      </c>
      <c r="B11" s="22">
        <v>0.1</v>
      </c>
      <c r="C11" s="18" t="s">
        <v>129</v>
      </c>
    </row>
    <row r="12" spans="1:3" ht="15" customHeight="1" x14ac:dyDescent="0.3">
      <c r="A12" s="21" t="s">
        <v>19</v>
      </c>
      <c r="B12" s="23">
        <v>1.1299999999999999</v>
      </c>
      <c r="C12" s="18" t="s">
        <v>20</v>
      </c>
    </row>
    <row r="13" spans="1:3" ht="15" customHeight="1" x14ac:dyDescent="0.3">
      <c r="A13" s="21" t="s">
        <v>21</v>
      </c>
      <c r="B13" s="22">
        <v>1</v>
      </c>
      <c r="C13" s="18" t="s">
        <v>22</v>
      </c>
    </row>
    <row r="14" spans="1:3" ht="15" customHeight="1" x14ac:dyDescent="0.3">
      <c r="A14" s="21" t="s">
        <v>23</v>
      </c>
      <c r="B14" s="23">
        <v>4.4999999999999998E-2</v>
      </c>
      <c r="C14" s="18" t="s">
        <v>24</v>
      </c>
    </row>
    <row r="15" spans="1:3" ht="15.75" customHeight="1" x14ac:dyDescent="0.3">
      <c r="A15" s="12" t="s">
        <v>25</v>
      </c>
      <c r="B15" s="12"/>
      <c r="C15" s="12"/>
    </row>
    <row r="16" spans="1:3" ht="15" customHeight="1" x14ac:dyDescent="0.3">
      <c r="A16" s="21" t="s">
        <v>26</v>
      </c>
      <c r="B16" s="22">
        <v>0.5</v>
      </c>
      <c r="C16" s="18" t="s">
        <v>27</v>
      </c>
    </row>
    <row r="17" spans="1:3" ht="15" customHeight="1" x14ac:dyDescent="0.3">
      <c r="A17" s="21" t="s">
        <v>28</v>
      </c>
      <c r="B17" s="23">
        <v>0.09</v>
      </c>
      <c r="C17" s="18" t="s">
        <v>29</v>
      </c>
    </row>
    <row r="18" spans="1:3" ht="15.75" customHeight="1" x14ac:dyDescent="0.3">
      <c r="A18" s="12" t="s">
        <v>30</v>
      </c>
      <c r="B18" s="12"/>
      <c r="C18" s="12"/>
    </row>
    <row r="19" spans="1:3" ht="15" customHeight="1" x14ac:dyDescent="0.3">
      <c r="A19" s="21" t="s">
        <v>31</v>
      </c>
      <c r="B19" s="24">
        <v>750</v>
      </c>
      <c r="C19" s="18" t="s">
        <v>32</v>
      </c>
    </row>
    <row r="20" spans="1:3" ht="15" customHeight="1" x14ac:dyDescent="0.3">
      <c r="A20" s="21" t="s">
        <v>33</v>
      </c>
      <c r="B20" s="17">
        <v>5000</v>
      </c>
      <c r="C20" s="18" t="s">
        <v>34</v>
      </c>
    </row>
    <row r="21" spans="1:3" ht="15.75" customHeight="1" x14ac:dyDescent="0.3">
      <c r="A21" s="12" t="s">
        <v>35</v>
      </c>
      <c r="B21" s="12"/>
      <c r="C21" s="12"/>
    </row>
    <row r="22" spans="1:3" ht="15" customHeight="1" x14ac:dyDescent="0.3">
      <c r="A22" s="21" t="s">
        <v>36</v>
      </c>
      <c r="B22" s="17">
        <v>2</v>
      </c>
      <c r="C22" s="18" t="s">
        <v>37</v>
      </c>
    </row>
    <row r="23" spans="1:3" ht="15" customHeight="1" x14ac:dyDescent="0.3">
      <c r="A23" s="21" t="s">
        <v>38</v>
      </c>
      <c r="B23" s="24">
        <v>28571</v>
      </c>
      <c r="C23" s="18" t="s">
        <v>39</v>
      </c>
    </row>
    <row r="24" spans="1:3" ht="15" customHeight="1" x14ac:dyDescent="0.3">
      <c r="A24" s="21" t="s">
        <v>40</v>
      </c>
      <c r="B24" s="24">
        <v>20000</v>
      </c>
      <c r="C24" s="18" t="s">
        <v>41</v>
      </c>
    </row>
    <row r="25" spans="1:3" ht="15.75" customHeight="1" x14ac:dyDescent="0.3">
      <c r="A25" s="12" t="s">
        <v>42</v>
      </c>
      <c r="B25" s="12"/>
      <c r="C25" s="12"/>
    </row>
    <row r="26" spans="1:3" ht="15" customHeight="1" x14ac:dyDescent="0.3">
      <c r="A26" s="21" t="s">
        <v>43</v>
      </c>
      <c r="B26" s="24">
        <v>2000</v>
      </c>
      <c r="C26" s="18" t="s">
        <v>44</v>
      </c>
    </row>
    <row r="27" spans="1:3" ht="15.75" customHeight="1" x14ac:dyDescent="0.3">
      <c r="A27" s="12" t="s">
        <v>45</v>
      </c>
      <c r="B27" s="12"/>
      <c r="C27" s="12"/>
    </row>
    <row r="28" spans="1:3" ht="15" customHeight="1" x14ac:dyDescent="0.3">
      <c r="A28" s="21" t="s">
        <v>46</v>
      </c>
      <c r="B28" s="24">
        <v>2500</v>
      </c>
      <c r="C28" s="18" t="s">
        <v>47</v>
      </c>
    </row>
    <row r="29" spans="1:3" ht="15.75" customHeight="1" x14ac:dyDescent="0.3">
      <c r="A29" s="12" t="s">
        <v>48</v>
      </c>
      <c r="B29" s="12"/>
      <c r="C29" s="12"/>
    </row>
    <row r="30" spans="1:3" ht="15" customHeight="1" x14ac:dyDescent="0.3">
      <c r="A30" s="21" t="s">
        <v>49</v>
      </c>
      <c r="B30" s="23">
        <v>15</v>
      </c>
      <c r="C30" s="18" t="s">
        <v>50</v>
      </c>
    </row>
    <row r="31" spans="1:3" ht="15" customHeight="1" x14ac:dyDescent="0.3">
      <c r="A31" s="21" t="s">
        <v>51</v>
      </c>
      <c r="B31" s="23">
        <v>25</v>
      </c>
      <c r="C31" s="18" t="s">
        <v>52</v>
      </c>
    </row>
    <row r="32" spans="1:3" ht="15" customHeight="1" x14ac:dyDescent="0.3">
      <c r="A32" s="21" t="s">
        <v>53</v>
      </c>
      <c r="B32" s="17">
        <v>2</v>
      </c>
      <c r="C32" s="18" t="s">
        <v>54</v>
      </c>
    </row>
  </sheetData>
  <mergeCells count="9">
    <mergeCell ref="A21:C21"/>
    <mergeCell ref="A25:C25"/>
    <mergeCell ref="A27:C27"/>
    <mergeCell ref="A29:C29"/>
    <mergeCell ref="A1:C1"/>
    <mergeCell ref="A3:C3"/>
    <mergeCell ref="A10:C10"/>
    <mergeCell ref="A15:C15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showGridLines="0" zoomScaleNormal="100" workbookViewId="0"/>
  </sheetViews>
  <sheetFormatPr defaultColWidth="8.6640625" defaultRowHeight="14.4" x14ac:dyDescent="0.3"/>
  <cols>
    <col min="1" max="1" width="30" customWidth="1"/>
    <col min="2" max="2" width="20" customWidth="1"/>
    <col min="3" max="7" width="14" customWidth="1"/>
    <col min="8" max="8" width="3" customWidth="1"/>
    <col min="9" max="13" width="14" customWidth="1"/>
  </cols>
  <sheetData>
    <row r="1" spans="1:13" ht="30" customHeight="1" x14ac:dyDescent="0.3">
      <c r="A1" s="13" t="s">
        <v>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5" customHeight="1" x14ac:dyDescent="0.3">
      <c r="A2" s="11"/>
      <c r="B2" s="11"/>
      <c r="C2" s="10" t="s">
        <v>56</v>
      </c>
      <c r="D2" s="10"/>
      <c r="E2" s="10"/>
      <c r="F2" s="10"/>
      <c r="G2" s="10"/>
      <c r="H2" s="25"/>
      <c r="I2" s="9" t="s">
        <v>57</v>
      </c>
      <c r="J2" s="9"/>
      <c r="K2" s="9"/>
      <c r="L2" s="9"/>
      <c r="M2" s="9"/>
    </row>
    <row r="3" spans="1:13" ht="18" customHeight="1" x14ac:dyDescent="0.3">
      <c r="A3" s="14" t="s">
        <v>58</v>
      </c>
      <c r="B3" s="14" t="s">
        <v>59</v>
      </c>
      <c r="C3" s="14" t="s">
        <v>60</v>
      </c>
      <c r="D3" s="14" t="s">
        <v>61</v>
      </c>
      <c r="E3" s="14" t="s">
        <v>62</v>
      </c>
      <c r="F3" s="14" t="s">
        <v>63</v>
      </c>
      <c r="G3" s="14" t="s">
        <v>64</v>
      </c>
      <c r="H3" s="26"/>
      <c r="I3" s="14" t="s">
        <v>60</v>
      </c>
      <c r="J3" s="14" t="s">
        <v>61</v>
      </c>
      <c r="K3" s="14" t="s">
        <v>62</v>
      </c>
      <c r="L3" s="14" t="s">
        <v>63</v>
      </c>
      <c r="M3" s="14" t="s">
        <v>64</v>
      </c>
    </row>
    <row r="4" spans="1:13" ht="15" customHeight="1" x14ac:dyDescent="0.3">
      <c r="A4" s="27" t="s">
        <v>65</v>
      </c>
      <c r="B4" s="18" t="s">
        <v>66</v>
      </c>
      <c r="C4" s="28">
        <f>(1000*Assumptions!B4)*(Assumptions!B8*Assumptions!B6+(1-Assumptions!B8)*Assumptions!B7)</f>
        <v>133.75000000000006</v>
      </c>
      <c r="D4" s="28">
        <f>(5000*Assumptions!B4)*(Assumptions!B8*Assumptions!B6+(1-Assumptions!B8)*Assumptions!B7)</f>
        <v>668.75000000000023</v>
      </c>
      <c r="E4" s="28">
        <f>(10000*Assumptions!B4)*(Assumptions!B8*Assumptions!B6+(1-Assumptions!B8)*Assumptions!B7)</f>
        <v>1337.5000000000005</v>
      </c>
      <c r="F4" s="28">
        <f>(25000*Assumptions!B4)*(Assumptions!B8*Assumptions!B6+(1-Assumptions!B8)*Assumptions!B7)</f>
        <v>3343.7500000000009</v>
      </c>
      <c r="G4" s="28">
        <f>(50000*Assumptions!B4)*(Assumptions!B8*Assumptions!B6+(1-Assumptions!B8)*Assumptions!B7)</f>
        <v>6687.5000000000018</v>
      </c>
      <c r="H4" s="29"/>
      <c r="I4" s="30">
        <f>(1000*Assumptions!B5)*(Assumptions!B9*Assumptions!B6+(1-Assumptions!B9)*Assumptions!B7)</f>
        <v>2565</v>
      </c>
      <c r="J4" s="30">
        <f>(5000*Assumptions!B5)*(Assumptions!B9*Assumptions!B6+(1-Assumptions!B9)*Assumptions!B7)</f>
        <v>12825.000000000002</v>
      </c>
      <c r="K4" s="30">
        <f>(10000*Assumptions!B5)*(Assumptions!B9*Assumptions!B6+(1-Assumptions!B9)*Assumptions!B7)</f>
        <v>25650.000000000004</v>
      </c>
      <c r="L4" s="30">
        <f>(25000*Assumptions!B5)*(Assumptions!B9*Assumptions!B6+(1-Assumptions!B9)*Assumptions!B7)</f>
        <v>64125.000000000007</v>
      </c>
      <c r="M4" s="30">
        <f>(50000*Assumptions!B5)*(Assumptions!B9*Assumptions!B6+(1-Assumptions!B9)*Assumptions!B7)</f>
        <v>128250.00000000001</v>
      </c>
    </row>
    <row r="5" spans="1:13" ht="15" customHeight="1" x14ac:dyDescent="0.3">
      <c r="A5" s="27" t="s">
        <v>67</v>
      </c>
      <c r="B5" s="18" t="s">
        <v>68</v>
      </c>
      <c r="C5" s="28">
        <f>1000*Assumptions!B11*Assumptions!B12</f>
        <v>112.99999999999999</v>
      </c>
      <c r="D5" s="28">
        <f>5000*Assumptions!B11*Assumptions!B12</f>
        <v>565</v>
      </c>
      <c r="E5" s="28">
        <f>10000*Assumptions!B11*Assumptions!B12</f>
        <v>1130</v>
      </c>
      <c r="F5" s="28">
        <f>25000*Assumptions!B11*Assumptions!B12</f>
        <v>2824.9999999999995</v>
      </c>
      <c r="G5" s="28">
        <f>50000*Assumptions!B11*Assumptions!B12</f>
        <v>5649.9999999999991</v>
      </c>
      <c r="H5" s="29"/>
      <c r="I5" s="30">
        <f>1000*Assumptions!B11*Assumptions!B12</f>
        <v>112.99999999999999</v>
      </c>
      <c r="J5" s="30">
        <f>5000*Assumptions!B11*Assumptions!B12</f>
        <v>565</v>
      </c>
      <c r="K5" s="30">
        <f>10000*Assumptions!B11*Assumptions!B12</f>
        <v>1130</v>
      </c>
      <c r="L5" s="30">
        <f>25000*Assumptions!B11*Assumptions!B12</f>
        <v>2824.9999999999995</v>
      </c>
      <c r="M5" s="30">
        <f>50000*Assumptions!B11*Assumptions!B12</f>
        <v>5649.9999999999991</v>
      </c>
    </row>
    <row r="6" spans="1:13" ht="15" customHeight="1" x14ac:dyDescent="0.3">
      <c r="A6" s="27" t="s">
        <v>69</v>
      </c>
      <c r="B6" s="18" t="s">
        <v>70</v>
      </c>
      <c r="C6" s="28">
        <f>1000*Assumptions!B13*Assumptions!B14</f>
        <v>45</v>
      </c>
      <c r="D6" s="28">
        <f>5000*Assumptions!B13*Assumptions!B14</f>
        <v>225</v>
      </c>
      <c r="E6" s="28">
        <f>10000*Assumptions!B13*Assumptions!B14</f>
        <v>450</v>
      </c>
      <c r="F6" s="28">
        <f>25000*Assumptions!B13*Assumptions!B14</f>
        <v>1125</v>
      </c>
      <c r="G6" s="28">
        <f>50000*Assumptions!B13*Assumptions!B14</f>
        <v>2250</v>
      </c>
      <c r="H6" s="29"/>
      <c r="I6" s="30">
        <f>1000*Assumptions!B13*Assumptions!B14</f>
        <v>45</v>
      </c>
      <c r="J6" s="30">
        <f>5000*Assumptions!B13*Assumptions!B14</f>
        <v>225</v>
      </c>
      <c r="K6" s="30">
        <f>10000*Assumptions!B13*Assumptions!B14</f>
        <v>450</v>
      </c>
      <c r="L6" s="30">
        <f>25000*Assumptions!B13*Assumptions!B14</f>
        <v>1125</v>
      </c>
      <c r="M6" s="30">
        <f>50000*Assumptions!B13*Assumptions!B14</f>
        <v>2250</v>
      </c>
    </row>
    <row r="7" spans="1:13" ht="15" customHeight="1" x14ac:dyDescent="0.3">
      <c r="A7" s="27" t="s">
        <v>71</v>
      </c>
      <c r="B7" s="18" t="s">
        <v>72</v>
      </c>
      <c r="C7" s="28">
        <f>1000*Assumptions!B16*Assumptions!B17</f>
        <v>45</v>
      </c>
      <c r="D7" s="28">
        <f>5000*Assumptions!B16*Assumptions!B17</f>
        <v>225</v>
      </c>
      <c r="E7" s="28">
        <f>10000*Assumptions!B16*Assumptions!B17</f>
        <v>450</v>
      </c>
      <c r="F7" s="28">
        <f>25000*Assumptions!B16*Assumptions!B17</f>
        <v>1125</v>
      </c>
      <c r="G7" s="28">
        <f>50000*Assumptions!B16*Assumptions!B17</f>
        <v>2250</v>
      </c>
      <c r="H7" s="29"/>
      <c r="I7" s="30">
        <f>1000*Assumptions!B16*Assumptions!B17</f>
        <v>45</v>
      </c>
      <c r="J7" s="30">
        <f>5000*Assumptions!B16*Assumptions!B17</f>
        <v>225</v>
      </c>
      <c r="K7" s="30">
        <f>10000*Assumptions!B16*Assumptions!B17</f>
        <v>450</v>
      </c>
      <c r="L7" s="30">
        <f>25000*Assumptions!B16*Assumptions!B17</f>
        <v>1125</v>
      </c>
      <c r="M7" s="30">
        <f>50000*Assumptions!B16*Assumptions!B17</f>
        <v>2250</v>
      </c>
    </row>
    <row r="8" spans="1:13" ht="15" customHeight="1" x14ac:dyDescent="0.3">
      <c r="A8" s="27" t="s">
        <v>73</v>
      </c>
      <c r="B8" s="18" t="s">
        <v>74</v>
      </c>
      <c r="C8" s="28">
        <f>ROUNDUP(1000/Assumptions!B20,0)*Assumptions!B19</f>
        <v>750</v>
      </c>
      <c r="D8" s="28">
        <f>ROUNDUP(5000/Assumptions!B20,0)*Assumptions!B19</f>
        <v>750</v>
      </c>
      <c r="E8" s="28">
        <f>ROUNDUP(10000/Assumptions!B20,0)*Assumptions!B19</f>
        <v>1500</v>
      </c>
      <c r="F8" s="28">
        <f>ROUNDUP(25000/Assumptions!B20,0)*Assumptions!B19</f>
        <v>3750</v>
      </c>
      <c r="G8" s="28">
        <f>ROUNDUP(50000/Assumptions!B20,0)*Assumptions!B19</f>
        <v>7500</v>
      </c>
      <c r="H8" s="29"/>
      <c r="I8" s="30">
        <f>ROUNDUP(1000/Assumptions!B20,0)*Assumptions!B19</f>
        <v>750</v>
      </c>
      <c r="J8" s="30">
        <f>ROUNDUP(5000/Assumptions!B20,0)*Assumptions!B19</f>
        <v>750</v>
      </c>
      <c r="K8" s="30">
        <f>ROUNDUP(10000/Assumptions!B20,0)*Assumptions!B19</f>
        <v>1500</v>
      </c>
      <c r="L8" s="30">
        <f>ROUNDUP(25000/Assumptions!B20,0)*Assumptions!B19</f>
        <v>3750</v>
      </c>
      <c r="M8" s="30">
        <f>ROUNDUP(50000/Assumptions!B20,0)*Assumptions!B19</f>
        <v>7500</v>
      </c>
    </row>
    <row r="9" spans="1:13" ht="15" customHeight="1" x14ac:dyDescent="0.3">
      <c r="A9" s="27" t="s">
        <v>75</v>
      </c>
      <c r="B9" s="18" t="s">
        <v>76</v>
      </c>
      <c r="C9" s="28">
        <f>ROUNDUP(1000/Assumptions!B20,0)*Assumptions!B22*Assumptions!B23/12</f>
        <v>4761.833333333333</v>
      </c>
      <c r="D9" s="28">
        <f>ROUNDUP(5000/Assumptions!B20,0)*Assumptions!B22*Assumptions!B23/12</f>
        <v>4761.833333333333</v>
      </c>
      <c r="E9" s="28">
        <f>ROUNDUP(10000/Assumptions!B20,0)*Assumptions!B22*Assumptions!B23/12</f>
        <v>9523.6666666666661</v>
      </c>
      <c r="F9" s="28">
        <f>ROUNDUP(25000/Assumptions!B20,0)*Assumptions!B22*Assumptions!B23/12</f>
        <v>23809.166666666668</v>
      </c>
      <c r="G9" s="28">
        <f>ROUNDUP(50000/Assumptions!B20,0)*Assumptions!B22*Assumptions!B23/12</f>
        <v>47618.333333333336</v>
      </c>
      <c r="H9" s="29"/>
      <c r="I9" s="30">
        <f>ROUNDUP(1000/Assumptions!B20,0)*Assumptions!B22*Assumptions!B23/12</f>
        <v>4761.833333333333</v>
      </c>
      <c r="J9" s="30">
        <f>ROUNDUP(5000/Assumptions!B20,0)*Assumptions!B22*Assumptions!B23/12</f>
        <v>4761.833333333333</v>
      </c>
      <c r="K9" s="30">
        <f>ROUNDUP(10000/Assumptions!B20,0)*Assumptions!B22*Assumptions!B23/12</f>
        <v>9523.6666666666661</v>
      </c>
      <c r="L9" s="30">
        <f>ROUNDUP(25000/Assumptions!B20,0)*Assumptions!B22*Assumptions!B23/12</f>
        <v>23809.166666666668</v>
      </c>
      <c r="M9" s="30">
        <f>ROUNDUP(50000/Assumptions!B20,0)*Assumptions!B22*Assumptions!B23/12</f>
        <v>47618.333333333336</v>
      </c>
    </row>
    <row r="10" spans="1:13" ht="15" customHeight="1" x14ac:dyDescent="0.3">
      <c r="A10" s="27" t="s">
        <v>77</v>
      </c>
      <c r="B10" s="18" t="s">
        <v>78</v>
      </c>
      <c r="C10" s="28">
        <f>ROUNDUP(1000/Assumptions!B20,0)*Assumptions!B22*Assumptions!B26/36</f>
        <v>111.11111111111111</v>
      </c>
      <c r="D10" s="28">
        <f>ROUNDUP(5000/Assumptions!B20,0)*Assumptions!B22*Assumptions!B26/36</f>
        <v>111.11111111111111</v>
      </c>
      <c r="E10" s="28">
        <f>ROUNDUP(10000/Assumptions!B20,0)*Assumptions!B22*Assumptions!B26/36</f>
        <v>222.22222222222223</v>
      </c>
      <c r="F10" s="28">
        <f>ROUNDUP(25000/Assumptions!B20,0)*Assumptions!B22*Assumptions!B26/36</f>
        <v>555.55555555555554</v>
      </c>
      <c r="G10" s="28">
        <f>ROUNDUP(50000/Assumptions!B20,0)*Assumptions!B22*Assumptions!B26/36</f>
        <v>1111.1111111111111</v>
      </c>
      <c r="H10" s="29"/>
      <c r="I10" s="30">
        <f>ROUNDUP(1000/Assumptions!B20,0)*Assumptions!B22*Assumptions!B26/36</f>
        <v>111.11111111111111</v>
      </c>
      <c r="J10" s="30">
        <f>ROUNDUP(5000/Assumptions!B20,0)*Assumptions!B22*Assumptions!B26/36</f>
        <v>111.11111111111111</v>
      </c>
      <c r="K10" s="30">
        <f>ROUNDUP(10000/Assumptions!B20,0)*Assumptions!B22*Assumptions!B26/36</f>
        <v>222.22222222222223</v>
      </c>
      <c r="L10" s="30">
        <f>ROUNDUP(25000/Assumptions!B20,0)*Assumptions!B22*Assumptions!B26/36</f>
        <v>555.55555555555554</v>
      </c>
      <c r="M10" s="30">
        <f>ROUNDUP(50000/Assumptions!B20,0)*Assumptions!B22*Assumptions!B26/36</f>
        <v>1111.1111111111111</v>
      </c>
    </row>
    <row r="11" spans="1:13" ht="15" customHeight="1" x14ac:dyDescent="0.3">
      <c r="A11" s="27" t="s">
        <v>79</v>
      </c>
      <c r="B11" s="18" t="s">
        <v>80</v>
      </c>
      <c r="C11" s="28">
        <f>Assumptions!B24/12</f>
        <v>1666.6666666666667</v>
      </c>
      <c r="D11" s="28">
        <f>Assumptions!B24/12</f>
        <v>1666.6666666666667</v>
      </c>
      <c r="E11" s="28">
        <f>Assumptions!B24/12</f>
        <v>1666.6666666666667</v>
      </c>
      <c r="F11" s="28">
        <f>Assumptions!B24/12</f>
        <v>1666.6666666666667</v>
      </c>
      <c r="G11" s="28">
        <f>Assumptions!B24/12</f>
        <v>1666.6666666666667</v>
      </c>
      <c r="H11" s="29"/>
      <c r="I11" s="30">
        <f>Assumptions!B24/12</f>
        <v>1666.6666666666667</v>
      </c>
      <c r="J11" s="30">
        <f>Assumptions!B24/12</f>
        <v>1666.6666666666667</v>
      </c>
      <c r="K11" s="30">
        <f>Assumptions!B24/12</f>
        <v>1666.6666666666667</v>
      </c>
      <c r="L11" s="30">
        <f>Assumptions!B24/12</f>
        <v>1666.6666666666667</v>
      </c>
      <c r="M11" s="30">
        <f>Assumptions!B24/12</f>
        <v>1666.6666666666667</v>
      </c>
    </row>
    <row r="12" spans="1:13" ht="15" customHeight="1" x14ac:dyDescent="0.3">
      <c r="A12" s="27" t="s">
        <v>81</v>
      </c>
      <c r="B12" s="18" t="s">
        <v>82</v>
      </c>
      <c r="C12" s="28">
        <f>ROUNDUP(1000/Assumptions!B20,0)*Assumptions!B28</f>
        <v>2500</v>
      </c>
      <c r="D12" s="28">
        <f>ROUNDUP(5000/Assumptions!B20,0)*Assumptions!B28</f>
        <v>2500</v>
      </c>
      <c r="E12" s="28">
        <f>ROUNDUP(10000/Assumptions!B20,0)*Assumptions!B28</f>
        <v>5000</v>
      </c>
      <c r="F12" s="28">
        <f>ROUNDUP(25000/Assumptions!B20,0)*Assumptions!B28</f>
        <v>12500</v>
      </c>
      <c r="G12" s="28">
        <f>ROUNDUP(50000/Assumptions!B20,0)*Assumptions!B28</f>
        <v>25000</v>
      </c>
      <c r="H12" s="29"/>
      <c r="I12" s="30">
        <f>ROUNDUP(1000/Assumptions!B20,0)*Assumptions!B28</f>
        <v>2500</v>
      </c>
      <c r="J12" s="30">
        <f>ROUNDUP(5000/Assumptions!B20,0)*Assumptions!B28</f>
        <v>2500</v>
      </c>
      <c r="K12" s="30">
        <f>ROUNDUP(10000/Assumptions!B20,0)*Assumptions!B28</f>
        <v>5000</v>
      </c>
      <c r="L12" s="30">
        <f>ROUNDUP(25000/Assumptions!B20,0)*Assumptions!B28</f>
        <v>12500</v>
      </c>
      <c r="M12" s="30">
        <f>ROUNDUP(50000/Assumptions!B20,0)*Assumptions!B28</f>
        <v>25000</v>
      </c>
    </row>
    <row r="13" spans="1:13" ht="15" customHeight="1" x14ac:dyDescent="0.3">
      <c r="A13" s="15" t="s">
        <v>83</v>
      </c>
      <c r="B13" s="31"/>
      <c r="C13" s="32">
        <f>SUM(C4:C12)</f>
        <v>10126.361111111111</v>
      </c>
      <c r="D13" s="32">
        <f>SUM(D4:D12)</f>
        <v>11473.361111111111</v>
      </c>
      <c r="E13" s="32">
        <f>SUM(E4:E12)</f>
        <v>21280.055555555555</v>
      </c>
      <c r="F13" s="32">
        <f>SUM(F4:F12)</f>
        <v>50700.138888888891</v>
      </c>
      <c r="G13" s="32">
        <f>SUM(G4:G12)</f>
        <v>99733.611111111124</v>
      </c>
      <c r="H13" s="29"/>
      <c r="I13" s="32">
        <f>SUM(I4:I12)</f>
        <v>12557.611111111109</v>
      </c>
      <c r="J13" s="32">
        <f>SUM(J4:J12)</f>
        <v>23629.611111111113</v>
      </c>
      <c r="K13" s="32">
        <f>SUM(K4:K12)</f>
        <v>45592.555555555555</v>
      </c>
      <c r="L13" s="32">
        <f>SUM(L4:L12)</f>
        <v>111481.38888888891</v>
      </c>
      <c r="M13" s="32">
        <f>SUM(M4:M12)</f>
        <v>221296.11111111112</v>
      </c>
    </row>
    <row r="14" spans="1:13" ht="1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5" spans="1:13" ht="15" customHeight="1" x14ac:dyDescent="0.3">
      <c r="A15" s="8" t="s">
        <v>84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15" customHeight="1" x14ac:dyDescent="0.3">
      <c r="A16" s="33" t="s">
        <v>85</v>
      </c>
      <c r="B16" s="34"/>
      <c r="C16" s="35">
        <f>C13/1000</f>
        <v>10.126361111111111</v>
      </c>
      <c r="D16" s="35">
        <f>D13/5000</f>
        <v>2.2946722222222222</v>
      </c>
      <c r="E16" s="35">
        <f>E13/10000</f>
        <v>2.1280055555555553</v>
      </c>
      <c r="F16" s="35">
        <f>F13/25000</f>
        <v>2.0280055555555556</v>
      </c>
      <c r="G16" s="35">
        <f>G13/50000</f>
        <v>1.9946722222222224</v>
      </c>
      <c r="H16" s="29"/>
      <c r="I16" s="36">
        <f>I13/1000</f>
        <v>12.557611111111109</v>
      </c>
      <c r="J16" s="36">
        <f>J13/5000</f>
        <v>4.7259222222222226</v>
      </c>
      <c r="K16" s="36">
        <f>K13/10000</f>
        <v>4.5592555555555556</v>
      </c>
      <c r="L16" s="36">
        <f>L13/25000</f>
        <v>4.459255555555556</v>
      </c>
      <c r="M16" s="36">
        <f>M13/50000</f>
        <v>4.4259222222222228</v>
      </c>
    </row>
    <row r="17" spans="1:13" ht="15" customHeight="1" x14ac:dyDescent="0.3">
      <c r="A17" s="37" t="s">
        <v>86</v>
      </c>
      <c r="B17" s="34"/>
      <c r="C17" s="38">
        <f>Assumptions!B30</f>
        <v>15</v>
      </c>
      <c r="D17" s="38">
        <f>Assumptions!B30</f>
        <v>15</v>
      </c>
      <c r="E17" s="38">
        <f>Assumptions!B30</f>
        <v>15</v>
      </c>
      <c r="F17" s="38">
        <f>Assumptions!B30</f>
        <v>15</v>
      </c>
      <c r="G17" s="38">
        <f>Assumptions!B30</f>
        <v>15</v>
      </c>
      <c r="H17" s="29"/>
      <c r="I17" s="38">
        <f>Assumptions!B31</f>
        <v>25</v>
      </c>
      <c r="J17" s="38">
        <f>Assumptions!B31</f>
        <v>25</v>
      </c>
      <c r="K17" s="38">
        <f>Assumptions!B31</f>
        <v>25</v>
      </c>
      <c r="L17" s="38">
        <f>Assumptions!B31</f>
        <v>25</v>
      </c>
      <c r="M17" s="38">
        <f>Assumptions!B31</f>
        <v>25</v>
      </c>
    </row>
    <row r="18" spans="1:13" ht="15" customHeight="1" x14ac:dyDescent="0.3">
      <c r="A18" s="37" t="s">
        <v>87</v>
      </c>
      <c r="B18" s="34"/>
      <c r="C18" s="39">
        <f>C17-C16</f>
        <v>4.8736388888888893</v>
      </c>
      <c r="D18" s="39">
        <f>D17-D16</f>
        <v>12.705327777777779</v>
      </c>
      <c r="E18" s="39">
        <f>E17-E16</f>
        <v>12.871994444444445</v>
      </c>
      <c r="F18" s="39">
        <f>F17-F16</f>
        <v>12.971994444444444</v>
      </c>
      <c r="G18" s="39">
        <f>G17-G16</f>
        <v>13.005327777777778</v>
      </c>
      <c r="H18" s="29"/>
      <c r="I18" s="40">
        <f>I17-I16</f>
        <v>12.442388888888891</v>
      </c>
      <c r="J18" s="40">
        <f>J17-J16</f>
        <v>20.274077777777777</v>
      </c>
      <c r="K18" s="40">
        <f>K17-K16</f>
        <v>20.440744444444444</v>
      </c>
      <c r="L18" s="40">
        <f>L17-L16</f>
        <v>20.540744444444442</v>
      </c>
      <c r="M18" s="40">
        <f>M17-M16</f>
        <v>20.574077777777777</v>
      </c>
    </row>
    <row r="19" spans="1:13" ht="15" customHeight="1" x14ac:dyDescent="0.3">
      <c r="A19" s="37" t="s">
        <v>88</v>
      </c>
      <c r="B19" s="34"/>
      <c r="C19" s="41">
        <f>IF(Assumptions!B30=0,0,C18/Assumptions!B30)</f>
        <v>0.32490925925925929</v>
      </c>
      <c r="D19" s="41">
        <f>IF(Assumptions!B30=0,0,D18/Assumptions!B30)</f>
        <v>0.84702185185185186</v>
      </c>
      <c r="E19" s="41">
        <f>IF(Assumptions!B30=0,0,E18/Assumptions!B30)</f>
        <v>0.85813296296296293</v>
      </c>
      <c r="F19" s="41">
        <f>IF(Assumptions!B30=0,0,F18/Assumptions!B30)</f>
        <v>0.86479962962962964</v>
      </c>
      <c r="G19" s="41">
        <f>IF(Assumptions!B30=0,0,G18/Assumptions!B30)</f>
        <v>0.86702185185185188</v>
      </c>
      <c r="H19" s="29"/>
      <c r="I19" s="42">
        <f>IF(Assumptions!B31=0,0,I18/Assumptions!B31)</f>
        <v>0.49769555555555561</v>
      </c>
      <c r="J19" s="42">
        <f>IF(Assumptions!B31=0,0,J18/Assumptions!B31)</f>
        <v>0.81096311111111108</v>
      </c>
      <c r="K19" s="42">
        <f>IF(Assumptions!B31=0,0,K18/Assumptions!B31)</f>
        <v>0.81762977777777779</v>
      </c>
      <c r="L19" s="42">
        <f>IF(Assumptions!B31=0,0,L18/Assumptions!B31)</f>
        <v>0.82162977777777768</v>
      </c>
      <c r="M19" s="42">
        <f>IF(Assumptions!B31=0,0,M18/Assumptions!B31)</f>
        <v>0.82296311111111109</v>
      </c>
    </row>
    <row r="20" spans="1:13" ht="15" customHeight="1" x14ac:dyDescent="0.3">
      <c r="A20" s="37" t="s">
        <v>89</v>
      </c>
      <c r="B20" s="34"/>
      <c r="C20" s="43">
        <f>C18*1000</f>
        <v>4873.6388888888896</v>
      </c>
      <c r="D20" s="43">
        <f>D18*5000</f>
        <v>63526.638888888891</v>
      </c>
      <c r="E20" s="43">
        <f>E18*10000</f>
        <v>128719.94444444445</v>
      </c>
      <c r="F20" s="43">
        <f>F18*25000</f>
        <v>324299.86111111112</v>
      </c>
      <c r="G20" s="43">
        <f>G18*50000</f>
        <v>650266.38888888888</v>
      </c>
      <c r="H20" s="29"/>
      <c r="I20" s="44">
        <f>I18*1000</f>
        <v>12442.388888888891</v>
      </c>
      <c r="J20" s="44">
        <f>J18*5000</f>
        <v>101370.38888888888</v>
      </c>
      <c r="K20" s="44">
        <f>K18*10000</f>
        <v>204407.44444444444</v>
      </c>
      <c r="L20" s="44">
        <f>L18*25000</f>
        <v>513518.61111111107</v>
      </c>
      <c r="M20" s="44">
        <f>M18*50000</f>
        <v>1028703.8888888889</v>
      </c>
    </row>
    <row r="21" spans="1:13" ht="15" customHeight="1" x14ac:dyDescent="0.3">
      <c r="A21" s="37" t="s">
        <v>90</v>
      </c>
      <c r="B21" s="34"/>
      <c r="C21" s="43">
        <f>C20*12</f>
        <v>58483.666666666672</v>
      </c>
      <c r="D21" s="43">
        <f>D20*12</f>
        <v>762319.66666666674</v>
      </c>
      <c r="E21" s="43">
        <f>E20*12</f>
        <v>1544639.3333333335</v>
      </c>
      <c r="F21" s="43">
        <f>F20*12</f>
        <v>3891598.3333333335</v>
      </c>
      <c r="G21" s="43">
        <f>G20*12</f>
        <v>7803196.666666666</v>
      </c>
      <c r="H21" s="29"/>
      <c r="I21" s="44">
        <f>I20*12</f>
        <v>149308.66666666669</v>
      </c>
      <c r="J21" s="44">
        <f>J20*12</f>
        <v>1216444.6666666665</v>
      </c>
      <c r="K21" s="44">
        <f>K20*12</f>
        <v>2452889.333333333</v>
      </c>
      <c r="L21" s="44">
        <f>L20*12</f>
        <v>6162223.333333333</v>
      </c>
      <c r="M21" s="44">
        <f>M20*12</f>
        <v>12344446.666666666</v>
      </c>
    </row>
    <row r="22" spans="1:13" ht="15" customHeight="1" x14ac:dyDescent="0.3">
      <c r="A22" s="33" t="s">
        <v>91</v>
      </c>
      <c r="B22" s="34"/>
      <c r="C22" s="45">
        <f>C16*1000*Assumptions!B32</f>
        <v>20252.722222222223</v>
      </c>
      <c r="D22" s="45">
        <f>D16*5000*Assumptions!B32</f>
        <v>22946.722222222223</v>
      </c>
      <c r="E22" s="45">
        <f>E16*10000*Assumptions!B32</f>
        <v>42560.111111111102</v>
      </c>
      <c r="F22" s="45">
        <f>F16*25000*Assumptions!B32</f>
        <v>101400.27777777778</v>
      </c>
      <c r="G22" s="45">
        <f>G16*50000*Assumptions!B32</f>
        <v>199467.22222222225</v>
      </c>
      <c r="H22" s="29"/>
      <c r="I22" s="46">
        <f>I16*1000*Assumptions!B32</f>
        <v>25115.222222222219</v>
      </c>
      <c r="J22" s="46">
        <f>J16*5000*Assumptions!B32</f>
        <v>47259.222222222226</v>
      </c>
      <c r="K22" s="46">
        <f>K16*10000*Assumptions!B32</f>
        <v>91185.111111111109</v>
      </c>
      <c r="L22" s="46">
        <f>L16*25000*Assumptions!B32</f>
        <v>222962.77777777781</v>
      </c>
      <c r="M22" s="46">
        <f>M16*50000*Assumptions!B32</f>
        <v>442592.22222222225</v>
      </c>
    </row>
    <row r="23" spans="1:13" ht="15" customHeight="1" x14ac:dyDescent="0.3">
      <c r="A23" s="37" t="s">
        <v>92</v>
      </c>
      <c r="B23" s="34"/>
      <c r="C23" s="43">
        <f>C21-C22</f>
        <v>38230.944444444453</v>
      </c>
      <c r="D23" s="43">
        <f>D21-D22</f>
        <v>739372.9444444445</v>
      </c>
      <c r="E23" s="43">
        <f>E21-E22</f>
        <v>1502079.2222222225</v>
      </c>
      <c r="F23" s="43">
        <f>F21-F22</f>
        <v>3790198.0555555555</v>
      </c>
      <c r="G23" s="43">
        <f>G21-G22</f>
        <v>7603729.444444444</v>
      </c>
      <c r="H23" s="29"/>
      <c r="I23" s="44">
        <f>I21-I22</f>
        <v>124193.44444444447</v>
      </c>
      <c r="J23" s="44">
        <f>J21-J22</f>
        <v>1169185.4444444443</v>
      </c>
      <c r="K23" s="44">
        <f>K21-K22</f>
        <v>2361704.222222222</v>
      </c>
      <c r="L23" s="44">
        <f>L21-L22</f>
        <v>5939260.555555555</v>
      </c>
      <c r="M23" s="44">
        <f>M21-M22</f>
        <v>11901854.444444444</v>
      </c>
    </row>
  </sheetData>
  <mergeCells count="5">
    <mergeCell ref="A1:M1"/>
    <mergeCell ref="A2:B2"/>
    <mergeCell ref="C2:G2"/>
    <mergeCell ref="I2:M2"/>
    <mergeCell ref="A15:M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showGridLines="0" tabSelected="1" topLeftCell="A8" zoomScaleNormal="100" workbookViewId="0">
      <selection activeCell="B32" sqref="B32:E32"/>
    </sheetView>
  </sheetViews>
  <sheetFormatPr defaultColWidth="8.6640625" defaultRowHeight="14.4" x14ac:dyDescent="0.3"/>
  <cols>
    <col min="1" max="1" width="32" customWidth="1"/>
    <col min="2" max="4" width="16" customWidth="1"/>
    <col min="5" max="5" width="36" customWidth="1"/>
  </cols>
  <sheetData>
    <row r="1" spans="1:5" ht="30" customHeight="1" x14ac:dyDescent="0.3">
      <c r="A1" s="13" t="s">
        <v>93</v>
      </c>
      <c r="B1" s="13"/>
      <c r="C1" s="13"/>
      <c r="D1" s="13"/>
      <c r="E1" s="13"/>
    </row>
    <row r="2" spans="1:5" ht="15" customHeight="1" x14ac:dyDescent="0.3">
      <c r="A2" s="12" t="s">
        <v>94</v>
      </c>
      <c r="B2" s="12"/>
      <c r="C2" s="12"/>
      <c r="D2" s="12"/>
      <c r="E2" s="12"/>
    </row>
    <row r="3" spans="1:5" ht="15" customHeight="1" x14ac:dyDescent="0.3">
      <c r="A3" s="14" t="s">
        <v>1</v>
      </c>
      <c r="B3" s="14" t="s">
        <v>2</v>
      </c>
      <c r="C3" s="8" t="s">
        <v>95</v>
      </c>
      <c r="D3" s="8"/>
      <c r="E3" s="8"/>
    </row>
    <row r="4" spans="1:5" ht="15" customHeight="1" x14ac:dyDescent="0.3">
      <c r="A4" s="21" t="s">
        <v>96</v>
      </c>
      <c r="B4" s="17">
        <v>2000</v>
      </c>
      <c r="C4" s="7" t="s">
        <v>97</v>
      </c>
      <c r="D4" s="7"/>
      <c r="E4" s="7"/>
    </row>
    <row r="5" spans="1:5" ht="15" customHeight="1" x14ac:dyDescent="0.3">
      <c r="A5" s="21" t="s">
        <v>98</v>
      </c>
      <c r="B5" s="17">
        <v>500000</v>
      </c>
      <c r="C5" s="7" t="s">
        <v>99</v>
      </c>
      <c r="D5" s="7"/>
      <c r="E5" s="7"/>
    </row>
    <row r="6" spans="1:5" ht="15" customHeight="1" x14ac:dyDescent="0.3">
      <c r="A6" s="21" t="s">
        <v>100</v>
      </c>
      <c r="B6" s="20">
        <v>0.9</v>
      </c>
      <c r="C6" s="7" t="s">
        <v>101</v>
      </c>
      <c r="D6" s="7"/>
      <c r="E6" s="7"/>
    </row>
    <row r="7" spans="1:5" ht="15" customHeight="1" x14ac:dyDescent="0.3">
      <c r="A7" s="21" t="s">
        <v>102</v>
      </c>
      <c r="B7" s="23">
        <v>15</v>
      </c>
      <c r="C7" s="7" t="s">
        <v>103</v>
      </c>
      <c r="D7" s="7"/>
      <c r="E7" s="7"/>
    </row>
    <row r="8" spans="1:5" ht="15" customHeight="1" x14ac:dyDescent="0.3">
      <c r="A8" s="12" t="s">
        <v>104</v>
      </c>
      <c r="B8" s="12"/>
      <c r="C8" s="12"/>
      <c r="D8" s="12"/>
      <c r="E8" s="12"/>
    </row>
    <row r="9" spans="1:5" ht="15" customHeight="1" x14ac:dyDescent="0.3">
      <c r="A9" s="14" t="s">
        <v>58</v>
      </c>
      <c r="B9" s="14" t="s">
        <v>105</v>
      </c>
      <c r="C9" s="14" t="s">
        <v>106</v>
      </c>
      <c r="D9" s="14" t="s">
        <v>107</v>
      </c>
      <c r="E9" s="14" t="s">
        <v>108</v>
      </c>
    </row>
    <row r="10" spans="1:5" ht="15" customHeight="1" x14ac:dyDescent="0.3">
      <c r="A10" s="21" t="s">
        <v>109</v>
      </c>
      <c r="B10" s="28">
        <f>B4*B5*(B6*Assumptions!B6+(1-B6)*Assumptions!B7)</f>
        <v>385</v>
      </c>
      <c r="C10" s="47">
        <f>B10/B4</f>
        <v>0.1925</v>
      </c>
      <c r="D10" s="48">
        <f>IF(B20=0,0,B10/B20)</f>
        <v>3.6387312222041363E-2</v>
      </c>
      <c r="E10" s="49" t="s">
        <v>110</v>
      </c>
    </row>
    <row r="11" spans="1:5" ht="15" customHeight="1" x14ac:dyDescent="0.3">
      <c r="A11" s="21" t="s">
        <v>67</v>
      </c>
      <c r="B11" s="28">
        <f>B4*Assumptions!B11*Assumptions!B12</f>
        <v>225.99999999999997</v>
      </c>
      <c r="C11" s="47">
        <f>B11/B4</f>
        <v>0.11299999999999999</v>
      </c>
      <c r="D11" s="48">
        <f>IF(B20=0,0,B11/B20)</f>
        <v>2.1359824836834667E-2</v>
      </c>
      <c r="E11" s="49" t="s">
        <v>110</v>
      </c>
    </row>
    <row r="12" spans="1:5" ht="15" customHeight="1" x14ac:dyDescent="0.3">
      <c r="A12" s="21" t="s">
        <v>69</v>
      </c>
      <c r="B12" s="28">
        <f>B4*Assumptions!B13*Assumptions!B14</f>
        <v>90</v>
      </c>
      <c r="C12" s="47">
        <f>B12/B4</f>
        <v>4.4999999999999998E-2</v>
      </c>
      <c r="D12" s="48">
        <f>IF(B20=0,0,B12/B20)</f>
        <v>8.5061249350226568E-3</v>
      </c>
      <c r="E12" s="49" t="s">
        <v>110</v>
      </c>
    </row>
    <row r="13" spans="1:5" ht="15" customHeight="1" x14ac:dyDescent="0.3">
      <c r="A13" s="21" t="s">
        <v>71</v>
      </c>
      <c r="B13" s="28">
        <f>B4*Assumptions!B16*Assumptions!B17</f>
        <v>90</v>
      </c>
      <c r="C13" s="47">
        <f>B13/B4</f>
        <v>4.4999999999999998E-2</v>
      </c>
      <c r="D13" s="48">
        <f>IF(B20=0,0,B13/B20)</f>
        <v>8.5061249350226568E-3</v>
      </c>
      <c r="E13" s="49" t="s">
        <v>110</v>
      </c>
    </row>
    <row r="14" spans="1:5" ht="15" customHeight="1" x14ac:dyDescent="0.3">
      <c r="A14" s="21" t="s">
        <v>73</v>
      </c>
      <c r="B14" s="28">
        <f>ROUNDUP(B4/Assumptions!B20,0)*Assumptions!B19</f>
        <v>750</v>
      </c>
      <c r="C14" s="47">
        <f>B14/B4</f>
        <v>0.375</v>
      </c>
      <c r="D14" s="48">
        <f>IF(B20=0,0,B14/B20)</f>
        <v>7.0884374458522137E-2</v>
      </c>
      <c r="E14" s="49" t="s">
        <v>111</v>
      </c>
    </row>
    <row r="15" spans="1:5" ht="15" customHeight="1" x14ac:dyDescent="0.3">
      <c r="A15" s="21" t="s">
        <v>75</v>
      </c>
      <c r="B15" s="28">
        <f>ROUNDUP(B4/Assumptions!B20,0)*Assumptions!B22*Assumptions!B23/12</f>
        <v>4761.833333333333</v>
      </c>
      <c r="C15" s="47">
        <f>B15/B4</f>
        <v>2.3809166666666663</v>
      </c>
      <c r="D15" s="48">
        <f>IF(B20=0,0,B15/B20)</f>
        <v>0.45005276947876355</v>
      </c>
      <c r="E15" s="49" t="s">
        <v>112</v>
      </c>
    </row>
    <row r="16" spans="1:5" ht="15" customHeight="1" x14ac:dyDescent="0.3">
      <c r="A16" s="21" t="s">
        <v>77</v>
      </c>
      <c r="B16" s="28">
        <f>ROUNDUP(B4/Assumptions!B20,0)*Assumptions!B22*Assumptions!B26/36</f>
        <v>111.11111111111111</v>
      </c>
      <c r="C16" s="47">
        <f>B16/B4</f>
        <v>5.5555555555555559E-2</v>
      </c>
      <c r="D16" s="48">
        <f>IF(B20=0,0,B16/B20)</f>
        <v>1.0501388808669947E-2</v>
      </c>
      <c r="E16" s="49" t="s">
        <v>112</v>
      </c>
    </row>
    <row r="17" spans="1:5" ht="15" customHeight="1" x14ac:dyDescent="0.3">
      <c r="A17" s="21" t="s">
        <v>79</v>
      </c>
      <c r="B17" s="28">
        <f>Assumptions!B24/12</f>
        <v>1666.6666666666667</v>
      </c>
      <c r="C17" s="47">
        <f>B17/B4</f>
        <v>0.83333333333333337</v>
      </c>
      <c r="D17" s="48">
        <f>IF(B20=0,0,B17/B20)</f>
        <v>0.15752083213004919</v>
      </c>
      <c r="E17" s="49" t="s">
        <v>111</v>
      </c>
    </row>
    <row r="18" spans="1:5" ht="15" customHeight="1" x14ac:dyDescent="0.3">
      <c r="A18" s="21" t="s">
        <v>81</v>
      </c>
      <c r="B18" s="28">
        <f>ROUNDUP(B4/Assumptions!B20,0)*Assumptions!B28</f>
        <v>2500</v>
      </c>
      <c r="C18" s="47">
        <f>B18/B4</f>
        <v>1.25</v>
      </c>
      <c r="D18" s="48">
        <f>IF(B20=0,0,B18/B20)</f>
        <v>0.23628124819507379</v>
      </c>
      <c r="E18" s="49" t="s">
        <v>112</v>
      </c>
    </row>
    <row r="20" spans="1:5" ht="15" customHeight="1" x14ac:dyDescent="0.3">
      <c r="A20" s="15" t="s">
        <v>113</v>
      </c>
      <c r="B20" s="32">
        <f>SUM(B10:B19)</f>
        <v>10580.611111111111</v>
      </c>
      <c r="C20" s="50">
        <f>B20/B4</f>
        <v>5.2903055555555554</v>
      </c>
      <c r="D20" s="51">
        <v>1</v>
      </c>
      <c r="E20" s="31"/>
    </row>
    <row r="21" spans="1:5" ht="15" customHeight="1" x14ac:dyDescent="0.3">
      <c r="A21" s="12" t="s">
        <v>114</v>
      </c>
      <c r="B21" s="12"/>
      <c r="C21" s="12"/>
      <c r="D21" s="12"/>
      <c r="E21" s="12"/>
    </row>
    <row r="22" spans="1:5" ht="15" customHeight="1" x14ac:dyDescent="0.3">
      <c r="A22" s="27" t="s">
        <v>85</v>
      </c>
      <c r="B22" s="6">
        <f>B20/B4</f>
        <v>5.2903055555555554</v>
      </c>
      <c r="C22" s="6"/>
      <c r="D22" s="6"/>
      <c r="E22" s="6"/>
    </row>
    <row r="23" spans="1:5" ht="15" customHeight="1" x14ac:dyDescent="0.3">
      <c r="A23" s="27" t="s">
        <v>86</v>
      </c>
      <c r="B23" s="6">
        <f>B7</f>
        <v>15</v>
      </c>
      <c r="C23" s="6"/>
      <c r="D23" s="6"/>
      <c r="E23" s="6"/>
    </row>
    <row r="24" spans="1:5" ht="15" customHeight="1" x14ac:dyDescent="0.3">
      <c r="A24" s="52" t="s">
        <v>87</v>
      </c>
      <c r="B24" s="5">
        <f>B23-B22</f>
        <v>9.7096944444444446</v>
      </c>
      <c r="C24" s="5"/>
      <c r="D24" s="5"/>
      <c r="E24" s="5"/>
    </row>
    <row r="25" spans="1:5" ht="15" customHeight="1" x14ac:dyDescent="0.3">
      <c r="A25" s="52" t="s">
        <v>88</v>
      </c>
      <c r="B25" s="4">
        <f>IF(B7=0,0,(B7-B20/B4)/B7)</f>
        <v>0.64731296296296292</v>
      </c>
      <c r="C25" s="4"/>
      <c r="D25" s="4"/>
      <c r="E25" s="4"/>
    </row>
    <row r="26" spans="1:5" ht="15" customHeight="1" x14ac:dyDescent="0.3">
      <c r="A26" s="52" t="s">
        <v>115</v>
      </c>
      <c r="B26" s="3">
        <f>(B23-B22)*B4</f>
        <v>19419.388888888891</v>
      </c>
      <c r="C26" s="3"/>
      <c r="D26" s="3"/>
      <c r="E26" s="3"/>
    </row>
    <row r="27" spans="1:5" ht="15" customHeight="1" x14ac:dyDescent="0.3">
      <c r="A27" s="52" t="s">
        <v>116</v>
      </c>
      <c r="B27" s="3">
        <f>B26*12</f>
        <v>233032.66666666669</v>
      </c>
      <c r="C27" s="3"/>
      <c r="D27" s="3"/>
      <c r="E27" s="3"/>
    </row>
    <row r="28" spans="1:5" ht="15" customHeight="1" x14ac:dyDescent="0.3">
      <c r="A28" s="53" t="s">
        <v>91</v>
      </c>
      <c r="B28" s="2">
        <f>B20/B4*B4*Assumptions!B32</f>
        <v>21161.222222222223</v>
      </c>
      <c r="C28" s="2"/>
      <c r="D28" s="2"/>
      <c r="E28" s="2"/>
    </row>
    <row r="29" spans="1:5" ht="15" customHeight="1" x14ac:dyDescent="0.3">
      <c r="A29" s="52" t="s">
        <v>117</v>
      </c>
      <c r="B29" s="3">
        <f>B27-B28</f>
        <v>211871.44444444447</v>
      </c>
      <c r="C29" s="3"/>
      <c r="D29" s="3"/>
      <c r="E29" s="3"/>
    </row>
    <row r="31" spans="1:5" ht="15" customHeight="1" x14ac:dyDescent="0.3">
      <c r="A31" s="12" t="s">
        <v>118</v>
      </c>
      <c r="B31" s="12"/>
      <c r="C31" s="12"/>
      <c r="D31" s="12"/>
      <c r="E31" s="12"/>
    </row>
    <row r="32" spans="1:5" ht="15" customHeight="1" x14ac:dyDescent="0.3">
      <c r="A32" s="54" t="s">
        <v>119</v>
      </c>
      <c r="B32" s="1" t="s">
        <v>120</v>
      </c>
      <c r="C32" s="1"/>
      <c r="D32" s="1"/>
      <c r="E32" s="1"/>
    </row>
    <row r="33" spans="1:5" ht="15" customHeight="1" x14ac:dyDescent="0.3">
      <c r="A33" s="55" t="s">
        <v>121</v>
      </c>
      <c r="B33" s="1" t="s">
        <v>122</v>
      </c>
      <c r="C33" s="1"/>
      <c r="D33" s="1"/>
      <c r="E33" s="1"/>
    </row>
    <row r="34" spans="1:5" ht="15" customHeight="1" x14ac:dyDescent="0.3">
      <c r="A34" s="56" t="s">
        <v>123</v>
      </c>
      <c r="B34" s="1" t="s">
        <v>124</v>
      </c>
      <c r="C34" s="1"/>
      <c r="D34" s="1"/>
      <c r="E34" s="1"/>
    </row>
    <row r="35" spans="1:5" ht="15" customHeight="1" x14ac:dyDescent="0.3">
      <c r="A35" s="55" t="s">
        <v>125</v>
      </c>
      <c r="B35" s="1" t="s">
        <v>126</v>
      </c>
      <c r="C35" s="1"/>
      <c r="D35" s="1"/>
      <c r="E35" s="1"/>
    </row>
    <row r="36" spans="1:5" ht="15" customHeight="1" x14ac:dyDescent="0.3">
      <c r="A36" s="57" t="s">
        <v>127</v>
      </c>
      <c r="B36" s="1" t="s">
        <v>128</v>
      </c>
      <c r="C36" s="1"/>
      <c r="D36" s="1"/>
      <c r="E36" s="1"/>
    </row>
  </sheetData>
  <mergeCells count="23">
    <mergeCell ref="B34:E34"/>
    <mergeCell ref="B35:E35"/>
    <mergeCell ref="B36:E36"/>
    <mergeCell ref="B28:E28"/>
    <mergeCell ref="B29:E29"/>
    <mergeCell ref="A31:E31"/>
    <mergeCell ref="B32:E32"/>
    <mergeCell ref="B33:E33"/>
    <mergeCell ref="B23:E23"/>
    <mergeCell ref="B24:E24"/>
    <mergeCell ref="B25:E25"/>
    <mergeCell ref="B26:E26"/>
    <mergeCell ref="B27:E27"/>
    <mergeCell ref="C6:E6"/>
    <mergeCell ref="C7:E7"/>
    <mergeCell ref="A8:E8"/>
    <mergeCell ref="A21:E21"/>
    <mergeCell ref="B22:E22"/>
    <mergeCell ref="A1:E1"/>
    <mergeCell ref="A2:E2"/>
    <mergeCell ref="C3:E3"/>
    <mergeCell ref="C4:E4"/>
    <mergeCell ref="C5:E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Margin Trend</vt:lpstr>
      <vt:lpstr>Margin Playbook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Elangovan, Parthav</cp:lastModifiedBy>
  <cp:revision>0</cp:revision>
  <dcterms:created xsi:type="dcterms:W3CDTF">2026-04-05T05:59:13Z</dcterms:created>
  <dcterms:modified xsi:type="dcterms:W3CDTF">2026-04-05T06:14:53Z</dcterms:modified>
  <dc:language>en-US</dc:language>
</cp:coreProperties>
</file>